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D7412192-56A1-5343-A47B-43980DAD90FF}" xr6:coauthVersionLast="47" xr6:coauthVersionMax="47" xr10:uidLastSave="{00000000-0000-0000-0000-000000000000}"/>
  <bookViews>
    <workbookView xWindow="4258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8" i="2" l="1"/>
  <c r="AL4952" i="2"/>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<sst xmlns="http://schemas.openxmlformats.org/spreadsheetml/2006/main" count="159" uniqueCount="127">
  <si>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</si>
  <si>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</si>
  <si>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</si>
  <si>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</si>
  <si>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</si>
  <si>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</si>
  <si>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</si>
  <si>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</si>
  <si>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</si>
  <si>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</si>
  <si>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</si>
  <si>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</si>
  <si>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</si>
  <si>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</si>
  <si>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</si>
  <si>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</si>
  <si>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</si>
  <si>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</si>
  <si>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</si>
  <si>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</si>
  <si>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</si>
  <si>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</si>
  <si>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</si>
  <si>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</si>
  <si>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</si>
  <si>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</si>
  <si>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</si>
  <si>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</si>
  <si>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</si>
  <si>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</si>
  <si>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</si>
  <si>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</si>
  <si>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</si>
  <si>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</si>
  <si>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</si>
  <si>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</si>
  <si>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</si>
  <si>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</si>
  <si>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</si>
  <si>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</si>
  <si>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</si>
  <si>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</si>
  <si>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</si>
  <si>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</si>
  <si>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</si>
  <si>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</si>
  <si>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</si>
  <si>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</si>
  <si>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</si>
  <si>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</si>
  <si>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</si>
  <si>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</si>
  <si>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</si>
  <si>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</si>
  <si>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</si>
  <si>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</si>
  <si>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</si>
  <si>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</si>
  <si>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</si>
  <si>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</si>
  <si>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</si>
  <si>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</si>
  <si>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</si>
  <si>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</si>
  <si>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</si>
  <si>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</si>
  <si>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</si>
  <si>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</si>
  <si>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</si>
  <si>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</si>
  <si>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</si>
  <si>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</si>
  <si>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</si>
  <si>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</si>
  <si>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</si>
  <si>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</si>
  <si>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</si>
  <si>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</si>
  <si>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</si>
  <si>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</si>
  <si>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</si>
  <si>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</si>
  <si>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</si>
  <si>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</si>
  <si>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</si>
  <si>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</si>
  <si>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</si>
  <si>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</si>
  <si>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</si>
  <si>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</si>
  <si>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</si>
  <si>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</si>
  <si>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</si>
  <si>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</si>
  <si>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Chuchinka-Table FSr</t>
  </si>
  <si>
    <t>Closed Bottom Structure</t>
  </si>
  <si>
    <t>Round Culvert</t>
  </si>
  <si>
    <t>No</t>
  </si>
  <si>
    <t>Yes</t>
  </si>
  <si>
    <t>Deep Fill</t>
  </si>
  <si>
    <t>High</t>
  </si>
  <si>
    <t>LS AI</t>
  </si>
  <si>
    <t>Tributary to Missinka River</t>
  </si>
  <si>
    <t>Chuchinka-Missinka fsr</t>
  </si>
  <si>
    <t>Medium</t>
  </si>
  <si>
    <t xml:space="preserve">Tributary to Missinka River </t>
  </si>
  <si>
    <t>Chuchinka-missinka fsr</t>
  </si>
  <si>
    <t>Replace with New Open Bottom Structure</t>
  </si>
  <si>
    <t>00180607</t>
  </si>
  <si>
    <t>Al Irvine</t>
  </si>
  <si>
    <t>250-777-1518</t>
  </si>
  <si>
    <t>al@newgraphenvironment.com</t>
  </si>
  <si>
    <t>00198456</t>
  </si>
  <si>
    <t>peace_2024_Reassessments</t>
  </si>
  <si>
    <t>Restoring Fish Passage in our Peace Region 2024 - Reassessments</t>
  </si>
  <si>
    <t>Reassessed as part of a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diameter.        . 15:58:48</t>
  </si>
  <si>
    <t>Two 1.2 m diameter pipes are present, with a significant outlet drop and a deep outlet pool. The habitat was good and consisted of cobbles, boulders, and woody debris, providing complexity and cover for fish.The stream flows into the inlet from the east but goes subsurface approximately 10 m upstream, with occasional small, shallow pools. The well-defined stream channel suggests it often carries higher flows. A wetland area to the east of the inlet likely contributes flow to the stream. An ~8 m wide area directly in front of the inlet was dry at the time of assessment but showed evidence of flowing water during higher flows.. 13:14:10</t>
  </si>
  <si>
    <t>Two pipes each at 1.2m in diameter, with one showing an inlet drop. Both pipes are embedded, except for 1 m at the inlet of one pipe, allowing them to function as embedded culverts, resulting in a low priority for replacement. The habitat is high quality, featuring deep pools and gravels. Rainbow trout ranging from 40-140 mm were captured during sampling.. 12:26:48</t>
  </si>
  <si>
    <t>MoF</t>
  </si>
  <si>
    <t>Winton R01821 51A</t>
  </si>
  <si>
    <t>AI LS</t>
  </si>
  <si>
    <t>Tributary to Table River</t>
  </si>
  <si>
    <t>Chuchinka-Table FSR</t>
  </si>
  <si>
    <t>Canfor R09333 UZ6_16</t>
  </si>
  <si>
    <t>Open Bottom Structure</t>
  </si>
  <si>
    <t>Bridge</t>
  </si>
  <si>
    <t>Culvert replaced with Bridge by C4 in the summer of 2024 with environmental oversight and engineering from DWB. Very nicely designed structure that fits the stream channel well. Minimal rock placement within areas likely to be within the natural channel with not constricting the channel. It is recommended that future projects incorporate vegetated riprap and reinstall the vegetation removed from the construction footprint within the same area.. 15:35:51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</si>
</sst>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0" borderId="0" xfId="0"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113</v>
      </c>
    </row>
    <row r="5" spans="1:20">
      <c r="A5" s="4" t="s">
        <v>58</v>
      </c>
      <c r="B5" t="s">
        <v>114</v>
      </c>
    </row>
    <row r="6" spans="1:20">
      <c r="A6" s="4"/>
      <c r="B6" s="10"/>
    </row>
    <row r="7" spans="1:20">
      <c r="A7" s="4" t="s">
        <v>86</v>
      </c>
      <c r="B7" s="83" t="s">
        <v>108</v>
      </c>
    </row>
    <row r="8" spans="1:20">
      <c r="A8" s="4" t="s">
        <v>73</v>
      </c>
      <c r="B8" t="s">
        <v>109</v>
      </c>
    </row>
    <row r="9" spans="1:20">
      <c r="A9" s="4" t="s">
        <v>74</v>
      </c>
      <c r="B9" t="s">
        <v>110</v>
      </c>
    </row>
    <row r="10" spans="1:20">
      <c r="A10" s="4" t="s">
        <v>75</v>
      </c>
      <c r="B10" s="84" t="s">
        <v>111</v>
      </c>
    </row>
    <row r="11" spans="1:20">
      <c r="A11" s="4"/>
      <c r="B11" s="10"/>
    </row>
    <row r="12" spans="1:20">
      <c r="A12" s="4" t="s">
        <v>36</v>
      </c>
      <c r="B12" s="83" t="s">
        <v>112</v>
      </c>
    </row>
    <row r="13" spans="1:20">
      <c r="A13" s="4" t="s">
        <v>37</v>
      </c>
      <c r="B13" t="s">
        <v>109</v>
      </c>
    </row>
    <row r="14" spans="1:20">
      <c r="A14" s="4" t="s">
        <v>38</v>
      </c>
      <c r="B14" t="s">
        <v>110</v>
      </c>
    </row>
    <row r="15" spans="1:20">
      <c r="A15" s="4" t="s">
        <v>39</v>
      </c>
      <c r="B15" s="84" t="s">
        <v>111</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85" zoomScaleNormal="85" workbookViewId="0">
      <pane ySplit="4" topLeftCell="A5" activePane="bottomLeft" state="frozen"/>
      <selection pane="bottomLeft" activeCell="AP8" sqref="AP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94</v>
      </c>
      <c r="J5" s="33">
        <v>2.1</v>
      </c>
      <c r="K5" s="11" t="s">
        <v>118</v>
      </c>
      <c r="L5" s="10" t="s">
        <v>95</v>
      </c>
      <c r="M5" s="10" t="s">
        <v>96</v>
      </c>
      <c r="N5" s="85">
        <v>2.15</v>
      </c>
      <c r="O5" s="85">
        <v>12</v>
      </c>
      <c r="P5" s="10" t="s">
        <v>97</v>
      </c>
      <c r="Q5" s="86"/>
      <c r="S5" s="10" t="s">
        <v>97</v>
      </c>
      <c r="T5" s="86"/>
      <c r="U5" s="10">
        <v>0.5</v>
      </c>
      <c r="V5" s="10">
        <v>0.23</v>
      </c>
      <c r="W5" s="10">
        <v>0.15</v>
      </c>
      <c r="X5" s="10" t="s">
        <v>97</v>
      </c>
      <c r="Y5" s="10">
        <v>2</v>
      </c>
      <c r="Z5" s="10">
        <v>5</v>
      </c>
      <c r="AA5" s="10">
        <v>1.5</v>
      </c>
      <c r="AB5" s="10" t="s">
        <v>98</v>
      </c>
      <c r="AC5" s="10" t="s">
        <v>98</v>
      </c>
      <c r="AD5" s="10" t="s">
        <v>99</v>
      </c>
      <c r="AE5" s="10" t="s">
        <v>100</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107</v>
      </c>
      <c r="AO5" s="10">
        <v>15</v>
      </c>
      <c r="AP5" s="78" t="s">
        <v>115</v>
      </c>
    </row>
    <row r="6" spans="1:42" ht="16">
      <c r="A6" s="59">
        <v>45542</v>
      </c>
      <c r="B6" s="58">
        <v>125186</v>
      </c>
      <c r="D6" s="10" t="s">
        <v>101</v>
      </c>
      <c r="E6" s="11">
        <v>10</v>
      </c>
      <c r="F6" s="39">
        <v>565424</v>
      </c>
      <c r="G6" s="39">
        <v>6052679</v>
      </c>
      <c r="H6" s="10" t="s">
        <v>102</v>
      </c>
      <c r="I6" s="11" t="s">
        <v>103</v>
      </c>
      <c r="J6" s="33"/>
      <c r="K6" s="10" t="s">
        <v>119</v>
      </c>
      <c r="L6" s="10" t="s">
        <v>95</v>
      </c>
      <c r="M6" s="10" t="s">
        <v>96</v>
      </c>
      <c r="N6" s="85">
        <v>2.4</v>
      </c>
      <c r="O6" s="85">
        <v>18</v>
      </c>
      <c r="P6" s="10" t="s">
        <v>97</v>
      </c>
      <c r="Q6" s="86"/>
      <c r="S6" s="10" t="s">
        <v>97</v>
      </c>
      <c r="T6" s="86"/>
      <c r="U6" s="10">
        <v>1.5</v>
      </c>
      <c r="V6" s="10">
        <v>0.34</v>
      </c>
      <c r="W6" s="10">
        <v>0.85</v>
      </c>
      <c r="X6" s="10" t="s">
        <v>97</v>
      </c>
      <c r="Y6" s="10">
        <v>4</v>
      </c>
      <c r="Z6" s="10">
        <v>2.8</v>
      </c>
      <c r="AA6" s="10">
        <v>5</v>
      </c>
      <c r="AB6" s="10" t="s">
        <v>97</v>
      </c>
      <c r="AC6" s="10" t="s">
        <v>97</v>
      </c>
      <c r="AD6" s="10" t="s">
        <v>99</v>
      </c>
      <c r="AE6" s="10" t="s">
        <v>104</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10" t="s">
        <v>107</v>
      </c>
      <c r="AO6" s="10">
        <v>15</v>
      </c>
      <c r="AP6" s="78" t="s">
        <v>116</v>
      </c>
    </row>
    <row r="7" spans="1:42" ht="16">
      <c r="A7" s="59">
        <v>45542</v>
      </c>
      <c r="B7" s="58">
        <v>125180</v>
      </c>
      <c r="D7" s="10" t="s">
        <v>101</v>
      </c>
      <c r="E7" s="11">
        <v>10</v>
      </c>
      <c r="F7" s="39">
        <v>569665</v>
      </c>
      <c r="G7" s="39">
        <v>6053047</v>
      </c>
      <c r="H7" s="10" t="s">
        <v>105</v>
      </c>
      <c r="I7" s="11" t="s">
        <v>106</v>
      </c>
      <c r="J7" s="33">
        <v>3</v>
      </c>
      <c r="K7" s="10" t="s">
        <v>119</v>
      </c>
      <c r="L7" s="10" t="s">
        <v>95</v>
      </c>
      <c r="M7" s="10" t="s">
        <v>96</v>
      </c>
      <c r="N7" s="21">
        <v>2.4</v>
      </c>
      <c r="O7" s="21">
        <v>16</v>
      </c>
      <c r="P7" s="10" t="s">
        <v>98</v>
      </c>
      <c r="Q7" s="10">
        <v>0.2</v>
      </c>
      <c r="R7" s="10" t="s">
        <v>98</v>
      </c>
      <c r="S7" s="10" t="s">
        <v>97</v>
      </c>
      <c r="T7" s="86"/>
      <c r="U7" s="10">
        <v>1</v>
      </c>
      <c r="V7" s="10">
        <v>0</v>
      </c>
      <c r="W7" s="10">
        <v>0</v>
      </c>
      <c r="X7" s="10" t="s">
        <v>98</v>
      </c>
      <c r="Y7" s="10">
        <v>2</v>
      </c>
      <c r="Z7" s="10">
        <v>4.0999999999999996</v>
      </c>
      <c r="AA7" s="10">
        <v>4</v>
      </c>
      <c r="AB7" s="10" t="s">
        <v>97</v>
      </c>
      <c r="AC7" s="10" t="s">
        <v>98</v>
      </c>
      <c r="AD7" s="10" t="s">
        <v>99</v>
      </c>
      <c r="AE7" s="10" t="s">
        <v>104</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10" t="s">
        <v>107</v>
      </c>
      <c r="AO7" s="10">
        <v>15</v>
      </c>
      <c r="AP7" s="10" t="s">
        <v>117</v>
      </c>
    </row>
    <row r="8" spans="1:42" ht="16">
      <c r="A8" s="59">
        <v>45545</v>
      </c>
      <c r="B8" s="82">
        <v>125231</v>
      </c>
      <c r="D8" s="10" t="s">
        <v>120</v>
      </c>
      <c r="E8" s="11">
        <v>10</v>
      </c>
      <c r="F8" s="39">
        <v>549973</v>
      </c>
      <c r="G8" s="39">
        <v>6065136</v>
      </c>
      <c r="H8" s="10" t="s">
        <v>121</v>
      </c>
      <c r="I8" s="11" t="s">
        <v>122</v>
      </c>
      <c r="J8" s="79"/>
      <c r="K8" s="81" t="s">
        <v>123</v>
      </c>
      <c r="L8" s="10" t="s">
        <v>124</v>
      </c>
      <c r="M8" s="10" t="s">
        <v>125</v>
      </c>
      <c r="N8" s="87">
        <v>12.2</v>
      </c>
      <c r="O8" s="87">
        <v>4.9000000000000004</v>
      </c>
      <c r="P8" s="88"/>
      <c r="Q8" s="88"/>
      <c r="R8" s="88"/>
      <c r="S8" s="88"/>
      <c r="T8" s="88"/>
      <c r="U8" s="88"/>
      <c r="V8" s="88"/>
      <c r="W8" s="88"/>
      <c r="X8" s="88"/>
      <c r="Y8" s="88"/>
      <c r="Z8" s="88"/>
      <c r="AA8" s="88"/>
      <c r="AB8" s="10" t="s">
        <v>97</v>
      </c>
      <c r="AC8" s="10" t="s">
        <v>97</v>
      </c>
      <c r="AD8" s="88"/>
      <c r="AE8" s="88"/>
      <c r="AF8" s="20">
        <f t="shared" si="0"/>
        <v>0</v>
      </c>
      <c r="AG8" s="13">
        <f t="shared" si="1"/>
        <v>0</v>
      </c>
      <c r="AH8" s="7">
        <f t="shared" si="2"/>
        <v>0</v>
      </c>
      <c r="AI8" s="7">
        <f t="shared" si="3"/>
        <v>0</v>
      </c>
      <c r="AJ8" s="7">
        <f t="shared" si="4"/>
        <v>0</v>
      </c>
      <c r="AK8" s="7">
        <f t="shared" si="5"/>
        <v>0</v>
      </c>
      <c r="AL8" s="12">
        <f t="shared" si="6"/>
        <v>0</v>
      </c>
      <c r="AM8" s="14" t="str">
        <f t="shared" si="7"/>
        <v>Passable</v>
      </c>
      <c r="AN8" s="88"/>
      <c r="AO8" s="88"/>
      <c r="AP8" s="10" t="s">
        <v>126</v>
      </c>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F2i/pmdCIE/AMh4IJE6etml9WoZ2zKrKZ44cHepW+svkhonKV9VoJN5ehv4s/pwFTjymWkgtXwjMej1HmUi0g==" saltValue="x1BVAGW6+nwwAgmBWxuI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decimal" allowBlank="1" showInputMessage="1" showErrorMessage="1" errorTitle="Invalid value entered" error="The Average Depth Embededdment you entered is invalid. The Average Depth Embededdment must be &lt;= 2.39 and &gt;= 0.01" sqref="Q6:Q7" xr:uid="{F371F1DA-6086-7946-A45B-6D45A7F7FB85}">
      <formula1>0.01</formula1>
      <formula2>2.39</formula2>
    </dataValidation>
    <dataValidation type="list" allowBlank="1" showInputMessage="1" showErrorMessage="1" errorTitle="Invalid value entered" error="The crossing subtype is not compatible with a crossing type of Open Bottom Structure" sqref="M8" xr:uid="{CE6E0933-26D9-D143-BF5F-E3971AABC30D}">
      <formula1>"Bridge, Pipe Arch, Wood Box Culvert"</formula1>
    </dataValidation>
    <dataValidation type="decimal" allowBlank="1" showInputMessage="1" showErrorMessage="1" errorTitle="Invalid Diamter or Span" error="The Diameter or Span entered is invalid. Diameter or Span must be &gt; 0 and &lt; 100" sqref="N8" xr:uid="{BCC6B8CD-A6BF-A14F-99D4-DD798D5EE29B}">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8" xr:uid="{DBB1A88E-B0B8-0746-A731-C497E22A9777}">
      <formula1>0.01</formula1>
      <formula2>12.19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2024-12-17T00:02:07Z</dcterms:modified>
</cp:coreProperties>
</file>